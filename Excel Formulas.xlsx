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g3rd/Desktop/DSNE/EXCEL/"/>
    </mc:Choice>
  </mc:AlternateContent>
  <xr:revisionPtr revIDLastSave="0" documentId="8_{81A7EBB8-1200-4B49-9805-62B894CDB155}" xr6:coauthVersionLast="47" xr6:coauthVersionMax="47" xr10:uidLastSave="{00000000-0000-0000-0000-000000000000}"/>
  <bookViews>
    <workbookView xWindow="0" yWindow="660" windowWidth="30240" windowHeight="18980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3" i="5"/>
  <c r="K2" i="5"/>
  <c r="J2" i="5"/>
  <c r="L2" i="12"/>
  <c r="K2" i="12"/>
  <c r="J2" i="12"/>
  <c r="K2" i="7" a="1"/>
  <c r="K2" i="7" s="1"/>
  <c r="J2" i="7" a="1"/>
  <c r="J2" i="7" s="1"/>
  <c r="L2" i="7" a="1"/>
  <c r="L2" i="7" s="1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2" i="6" a="1"/>
  <c r="J2" i="6" s="1"/>
  <c r="M2" i="3" a="1"/>
  <c r="M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M2" i="9"/>
  <c r="L2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<sst xmlns="http://schemas.openxmlformats.org/spreadsheetml/2006/main" count="595" uniqueCount="100">
  <si>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</si>
  <si>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</si>
  <si>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</si>
  <si>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</si>
  <si>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</si>
  <si>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</si>
  <si>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</si>
  <si>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</si>
  <si>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</si>
  <si>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</si>
  <si>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</si>
  <si>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</si>
  <si>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</si>
  <si>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</si>
  <si>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</si>
  <si>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</si>
  <si>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</si>
  <si>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</si>
  <si>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</si>
  <si>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</si>
  <si>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</si>
  <si>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</si>
  <si>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</si>
  <si>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</si>
  <si>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</si>
  <si>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</si>
  <si>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</si>
  <si>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</si>
  <si>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</si>
  <si>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</si>
  <si>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</si>
  <si>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</si>
  <si>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</si>
  <si>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</si>
  <si>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</si>
  <si>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</si>
  <si>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</si>
  <si>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</si>
  <si>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</si>
  <si>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</si>
  <si>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</si>
  <si>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</si>
  <si>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</si>
  <si>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</si>
  <si>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</si>
  <si>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</si>
  <si>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</si>
  <si>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</si>
  <si>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</si>
  <si>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</si>
  <si>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</si>
  <si>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</si>
  <si>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</si>
  <si>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</si>
  <si>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</si>
  <si>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</si>
  <si>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</si>
  <si>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</si>
  <si>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</si>
  <si>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</si>
  <si>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</si>
  <si>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</si>
  <si>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</si>
  <si>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</si>
  <si>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</si>
  <si>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</si>
  <si>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</si>
  <si>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</si>
  <si>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</si>
  <si>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</si>
  <si>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</si>
  <si>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</si>
  <si>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</si>
  <si>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</si>
  <si>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</si>
  <si>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</si>
  <si>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</si>
  <si>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</si>
  <si>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</si>
  <si>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</si>
  <si>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</si>
  <si>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</si>
  <si>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</si>
  <si>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</si>
  <si>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</si>
  <si>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</si>
  <si>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</si>
  <si>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</si>
  <si>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Max Salary</t>
  </si>
  <si>
    <t>Min Salary</t>
  </si>
  <si>
    <t>02/11/2001</t>
  </si>
  <si>
    <t>03/10/1999</t>
  </si>
  <si>
    <t>04/07/2000</t>
  </si>
  <si>
    <t>05/01/2000</t>
  </si>
  <si>
    <t>06/05/2001</t>
  </si>
  <si>
    <t>07/12/1995</t>
  </si>
  <si>
    <t>08/11/2003</t>
  </si>
  <si>
    <t>09/06/2002</t>
  </si>
  <si>
    <t>10/08/2003</t>
  </si>
  <si>
    <t>Emails Concatenated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</si>
</sst>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M10"/>
  <sheetViews>
    <sheetView workbookViewId="0">
      <selection activeCell="M3" sqref="M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3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  <c r="L1" t="s">
        <v>88</v>
      </c>
      <c r="M1" t="s">
        <v>89</v>
      </c>
    </row>
    <row r="2" spans="1:13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  <c r="L2">
        <f>MAX(G2:G10)</f>
        <v>65000</v>
      </c>
      <c r="M2">
        <f>MIN(G2:G10)</f>
        <v>36000</v>
      </c>
    </row>
    <row r="3" spans="1:13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3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3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3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3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3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3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3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3" sqref="K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  <col min="11" max="11" width="18.832031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 "Old", "Young")</f>
        <v>Young</v>
      </c>
      <c r="K2" t="str" cm="1">
        <f t="array" ref="K2:K10">_xlfn.IFS(F2:F10 ="Salesman", "Sales", F2:F10="HR", "Fire Immediately", F2:F10="Regional Manager","Give Christmas Bonus")</f>
        <v>Sales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baseColWidth="10" defaultColWidth="10.83203125" defaultRowHeight="15" x14ac:dyDescent="0.2"/>
  <cols>
    <col min="1" max="1" width="10.83203125" bestFit="1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M3" sqref="M3"/>
    </sheetView>
  </sheetViews>
  <sheetFormatPr baseColWidth="10" defaultColWidth="14.5" defaultRowHeight="15" x14ac:dyDescent="0.2"/>
  <cols>
    <col min="4" max="4" width="8" customWidth="1"/>
    <col min="10" max="10" width="38.33203125" bestFit="1" customWidth="1"/>
  </cols>
  <sheetData>
    <row r="1" spans="1:13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 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workbookViewId="0">
      <selection activeCell="O21" sqref="O21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  <col min="10" max="10" width="19.5" bestFit="1" customWidth="1"/>
  </cols>
  <sheetData>
    <row r="1" spans="1:13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  <c r="L2" t="s">
        <v>90</v>
      </c>
      <c r="M2" t="str" cm="1">
        <f t="array" ref="M2:M10">RIGHT(L2:L10,4)</f>
        <v>2001</v>
      </c>
    </row>
    <row r="3" spans="1:13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">
        <v>91</v>
      </c>
      <c r="M3" t="str">
        <v>1999</v>
      </c>
    </row>
    <row r="4" spans="1:13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">
        <v>92</v>
      </c>
      <c r="M4" t="str">
        <v>2000</v>
      </c>
    </row>
    <row r="5" spans="1:13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">
        <v>93</v>
      </c>
      <c r="M5" t="str">
        <v>2000</v>
      </c>
    </row>
    <row r="6" spans="1:13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">
        <v>94</v>
      </c>
      <c r="M6" t="str">
        <v>2001</v>
      </c>
    </row>
    <row r="7" spans="1:13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">
        <v>95</v>
      </c>
      <c r="M7" t="str">
        <v>1995</v>
      </c>
    </row>
    <row r="8" spans="1:13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">
        <v>96</v>
      </c>
      <c r="M8" t="str">
        <v>2003</v>
      </c>
    </row>
    <row r="9" spans="1:13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">
        <v>97</v>
      </c>
      <c r="M9" t="str">
        <v>2002</v>
      </c>
    </row>
    <row r="10" spans="1:13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">
        <v>98</v>
      </c>
      <c r="M10" t="str">
        <v>2003</v>
      </c>
    </row>
    <row r="12" spans="1:13" x14ac:dyDescent="0.2">
      <c r="H12" s="1"/>
    </row>
    <row r="13" spans="1:13" x14ac:dyDescent="0.2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K12" sqref="K12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2" sqref="K2"/>
    </sheetView>
  </sheetViews>
  <sheetFormatPr baseColWidth="10" defaultColWidth="8.83203125" defaultRowHeight="15" x14ac:dyDescent="0.2"/>
  <cols>
    <col min="2" max="2" width="10.5" customWidth="1"/>
    <col min="3" max="5" width="10.6640625" customWidth="1"/>
    <col min="6" max="6" width="16.5" customWidth="1"/>
    <col min="8" max="8" width="14.1640625" customWidth="1"/>
    <col min="9" max="9" width="14.83203125" customWidth="1"/>
    <col min="10" max="10" width="22" bestFit="1" customWidth="1"/>
    <col min="11" max="11" width="24" bestFit="1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  <c r="K1" t="s">
        <v>99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">
      <c r="H11" t="str">
        <f t="shared" ref="H11:H12" si="2">CONCATENATE(B11," ",C11)</f>
        <v xml:space="preserve"> </v>
      </c>
    </row>
    <row r="12" spans="1:11" x14ac:dyDescent="0.2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3" sqref="K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 - ",1)</f>
        <v>11 - 2/2001</v>
      </c>
      <c r="K2" t="str" cm="1">
        <f t="array" ref="K2:K10">SUBSTITUTE(H2:H10,"/"," - ", 2)</f>
        <v>11/2 - 2001</v>
      </c>
      <c r="L2" t="str" cm="1">
        <f t="array" ref="L2:L10">SUBSTITUTE(H2:H10,"/"," - ")</f>
        <v>11 - 2 - 2001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10 - 3/1999</v>
      </c>
      <c r="K3" t="str">
        <v>10/3 - 1999</v>
      </c>
      <c r="L3" t="str">
        <v>10 - 3 - 1999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7 - 4/2000</v>
      </c>
      <c r="K4" t="str">
        <v>7/4 - 2000</v>
      </c>
      <c r="L4" t="str">
        <v>7 - 4 - 2000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1 - 5/2000</v>
      </c>
      <c r="K5" t="str">
        <v>1/5 - 2000</v>
      </c>
      <c r="L5" t="str">
        <v>1 - 5 - 2000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5 - 6/2001</v>
      </c>
      <c r="K6" t="str">
        <v>5/6 - 2001</v>
      </c>
      <c r="L6" t="str">
        <v>5 - 6 - 2001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5 - 6/2001</v>
      </c>
      <c r="K7" t="str">
        <v>5/6 - 2001</v>
      </c>
      <c r="L7" t="str">
        <v>5 - 6 - 2001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11 - 8/2003</v>
      </c>
      <c r="K8" t="str">
        <v>11/8 - 2003</v>
      </c>
      <c r="L8" t="str">
        <v>11 - 8 - 2003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6 - 9/2002</v>
      </c>
      <c r="K9" t="str">
        <v>6/9 - 2002</v>
      </c>
      <c r="L9" t="str">
        <v>6 - 9 - 2002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8 - 10/2003</v>
      </c>
      <c r="K10" t="str">
        <v>8/10 - 2003</v>
      </c>
      <c r="L10" t="str">
        <v>8 - 10 - 2003</v>
      </c>
    </row>
    <row r="12" spans="1:12" x14ac:dyDescent="0.2">
      <c r="H12" s="2"/>
      <c r="I12" s="2"/>
    </row>
    <row r="13" spans="1:12" x14ac:dyDescent="0.2">
      <c r="H13" s="2"/>
      <c r="I13" s="2"/>
    </row>
    <row r="14" spans="1:12" x14ac:dyDescent="0.2">
      <c r="H14" s="2"/>
      <c r="I14" s="2"/>
    </row>
    <row r="15" spans="1:12" x14ac:dyDescent="0.2">
      <c r="H15" s="2"/>
      <c r="I15" s="2"/>
    </row>
    <row r="16" spans="1:12" x14ac:dyDescent="0.2">
      <c r="H16" s="2"/>
      <c r="I16" s="2"/>
    </row>
    <row r="17" spans="8:9" x14ac:dyDescent="0.2">
      <c r="H17" s="2"/>
      <c r="I17" s="2"/>
    </row>
    <row r="18" spans="8:9" x14ac:dyDescent="0.2">
      <c r="H18" s="2"/>
      <c r="I18" s="2"/>
    </row>
    <row r="19" spans="8:9" x14ac:dyDescent="0.2">
      <c r="H19" s="2"/>
      <c r="I19" s="2"/>
    </row>
    <row r="20" spans="8:9" x14ac:dyDescent="0.2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baseColWidth="10" defaultColWidth="13" defaultRowHeight="15" x14ac:dyDescent="0.2"/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COUNTIF(E2:E10,"Male")</f>
        <v>6</v>
      </c>
      <c r="L2">
        <f>COUNTIFS(A2:A10,"&gt;1005",E2:E10,"Male")</f>
        <v>3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K3">
        <f>COUNTIF(G2:G10,"&gt;45000")</f>
        <v>5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L15" sqref="L15"/>
    </sheetView>
  </sheetViews>
  <sheetFormatPr baseColWidth="10" defaultColWidth="8.83203125" defaultRowHeight="15" x14ac:dyDescent="0.2"/>
  <cols>
    <col min="6" max="6" width="14.83203125" bestFit="1" customWidth="1"/>
    <col min="8" max="8" width="14.5" customWidth="1"/>
    <col min="9" max="9" width="13.33203125" customWidth="1"/>
    <col min="11" max="11" width="12.6640625" bestFit="1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Ayodeji Adeleke</cp:lastModifiedBy>
  <dcterms:created xsi:type="dcterms:W3CDTF">2021-12-16T14:18:34Z</dcterms:created>
  <dcterms:modified xsi:type="dcterms:W3CDTF">2026-02-04T22:43:18Z</dcterms:modified>
</cp:coreProperties>
</file>